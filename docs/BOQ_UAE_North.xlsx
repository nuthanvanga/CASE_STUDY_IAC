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mpute" sheetId="2" state="visible" r:id="rId2"/>
    <sheet xmlns:r="http://schemas.openxmlformats.org/officeDocument/2006/relationships" name="Containers" sheetId="3" state="visible" r:id="rId3"/>
    <sheet xmlns:r="http://schemas.openxmlformats.org/officeDocument/2006/relationships" name="Networking" sheetId="4" state="visible" r:id="rId4"/>
    <sheet xmlns:r="http://schemas.openxmlformats.org/officeDocument/2006/relationships" name="Security" sheetId="5" state="visible" r:id="rId5"/>
    <sheet xmlns:r="http://schemas.openxmlformats.org/officeDocument/2006/relationships" name="Monitoring" sheetId="6" state="visible" r:id="rId6"/>
    <sheet xmlns:r="http://schemas.openxmlformats.org/officeDocument/2006/relationships" name="Storage_Backu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4" borderId="0" pivotButton="0" quotePrefix="0" xfId="0"/>
    <xf numFmtId="164" fontId="2" fillId="4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2" fillId="3" borderId="1" pivotButton="0" quotePrefix="0" xfId="0"/>
    <xf numFmtId="16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Bill of Quantity — Production Environment, UAE North</t>
        </is>
      </c>
    </row>
    <row r="3">
      <c r="A3" t="inlineStr">
        <is>
          <t>Region</t>
        </is>
      </c>
      <c r="B3" t="inlineStr">
        <is>
          <t>UAE North</t>
        </is>
      </c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Pricing reference</t>
        </is>
      </c>
      <c r="B5" t="inlineStr">
        <is>
          <t>Azure public retail (May 2026 snapshot)</t>
        </is>
      </c>
    </row>
    <row r="7">
      <c r="A7" s="2" t="inlineStr">
        <is>
          <t>Category</t>
        </is>
      </c>
      <c r="B7" s="2" t="inlineStr">
        <is>
          <t>Monthly (PAYG)</t>
        </is>
      </c>
    </row>
    <row r="8">
      <c r="A8" t="inlineStr">
        <is>
          <t>Compute</t>
        </is>
      </c>
      <c r="B8" s="3">
        <f>Compute!F8</f>
        <v/>
      </c>
    </row>
    <row r="9">
      <c r="A9" t="inlineStr">
        <is>
          <t>Containers &amp; Registry</t>
        </is>
      </c>
      <c r="B9" s="3">
        <f>Containers!F5</f>
        <v/>
      </c>
    </row>
    <row r="10">
      <c r="A10" t="inlineStr">
        <is>
          <t>Networking</t>
        </is>
      </c>
      <c r="B10" s="3">
        <f>Networking!F12</f>
        <v/>
      </c>
    </row>
    <row r="11">
      <c r="A11" t="inlineStr">
        <is>
          <t>Security</t>
        </is>
      </c>
      <c r="B11" s="3">
        <f>Security!F8</f>
        <v/>
      </c>
    </row>
    <row r="12">
      <c r="A12" t="inlineStr">
        <is>
          <t>Monitoring &amp; Logging</t>
        </is>
      </c>
      <c r="B12" s="3">
        <f>Monitoring!F10</f>
        <v/>
      </c>
    </row>
    <row r="13">
      <c r="A13" t="inlineStr">
        <is>
          <t>Storage &amp; Backup</t>
        </is>
      </c>
      <c r="B13" s="3">
        <f>Storage_Backup!F5</f>
        <v/>
      </c>
    </row>
    <row r="14">
      <c r="A14" s="4" t="inlineStr">
        <is>
          <t>Total (PAYG estimate)</t>
        </is>
      </c>
      <c r="B14" s="5">
        <f>SUM(B8:B13)</f>
        <v/>
      </c>
    </row>
    <row r="16">
      <c r="A16" t="inlineStr">
        <is>
          <t>3-year Reservation savings (compute only)</t>
        </is>
      </c>
      <c r="B16" t="inlineStr">
        <is>
          <t>approx. 45–55% off compute &amp; app service</t>
        </is>
      </c>
    </row>
    <row r="17">
      <c r="A17" t="inlineStr">
        <is>
          <t>Recommended budget (with 10% buffer)</t>
        </is>
      </c>
      <c r="B17" s="3">
        <f>ROUND(B14*1.1, 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36" customWidth="1" min="3" max="3"/>
    <col width="10" customWidth="1" min="4" max="4"/>
    <col width="18" customWidth="1" min="5" max="5"/>
    <col width="16" customWidth="1" min="6" max="6"/>
  </cols>
  <sheetData>
    <row r="1">
      <c r="A1" s="6" t="inlineStr">
        <is>
          <t>#</t>
        </is>
      </c>
      <c r="B1" s="6" t="inlineStr">
        <is>
          <t>Resource</t>
        </is>
      </c>
      <c r="C1" s="6" t="inlineStr">
        <is>
          <t>SKU / Tier</t>
        </is>
      </c>
      <c r="D1" s="6" t="inlineStr">
        <is>
          <t>Qty</t>
        </is>
      </c>
      <c r="E1" s="6" t="inlineStr">
        <is>
          <t>Unit price (USD)</t>
        </is>
      </c>
      <c r="F1" s="6" t="inlineStr">
        <is>
          <t>Monthly (USD)</t>
        </is>
      </c>
    </row>
    <row r="2">
      <c r="A2" s="7" t="n">
        <v>1</v>
      </c>
      <c r="B2" s="7" t="inlineStr">
        <is>
          <t>AKS control plane</t>
        </is>
      </c>
      <c r="C2" s="7" t="inlineStr">
        <is>
          <t>Standard tier (Uptime SLA)</t>
        </is>
      </c>
      <c r="D2" s="7" t="n">
        <v>1</v>
      </c>
      <c r="E2" s="7" t="inlineStr">
        <is>
          <t>$0.10/hr</t>
        </is>
      </c>
      <c r="F2" s="8" t="n">
        <v>73</v>
      </c>
    </row>
    <row r="3">
      <c r="A3" s="7" t="n">
        <v>2</v>
      </c>
      <c r="B3" s="7" t="inlineStr">
        <is>
          <t>AKS system node pool</t>
        </is>
      </c>
      <c r="C3" s="7" t="inlineStr">
        <is>
          <t>Standard_D4s_v5 (4 vCPU/16 GB)</t>
        </is>
      </c>
      <c r="D3" s="7" t="n">
        <v>3</v>
      </c>
      <c r="E3" s="7" t="inlineStr">
        <is>
          <t>$0.232/hr</t>
        </is>
      </c>
      <c r="F3" s="8" t="n">
        <v>508</v>
      </c>
    </row>
    <row r="4">
      <c r="A4" s="7" t="n">
        <v>3</v>
      </c>
      <c r="B4" s="7" t="inlineStr">
        <is>
          <t>AKS user node pool</t>
        </is>
      </c>
      <c r="C4" s="7" t="inlineStr">
        <is>
          <t>Standard_D8s_v5 (8 vCPU/32 GB)</t>
        </is>
      </c>
      <c r="D4" s="7" t="n">
        <v>3</v>
      </c>
      <c r="E4" s="7" t="inlineStr">
        <is>
          <t>$0.464/hr</t>
        </is>
      </c>
      <c r="F4" s="8" t="n">
        <v>1016</v>
      </c>
    </row>
    <row r="5">
      <c r="A5" s="7" t="n">
        <v>4</v>
      </c>
      <c r="B5" s="7" t="inlineStr">
        <is>
          <t>App Service Plan</t>
        </is>
      </c>
      <c r="C5" s="7" t="inlineStr">
        <is>
          <t>Premium V3 P1v3, zone-redundant</t>
        </is>
      </c>
      <c r="D5" s="7" t="n">
        <v>3</v>
      </c>
      <c r="E5" s="7" t="inlineStr">
        <is>
          <t>$0.214/hr</t>
        </is>
      </c>
      <c r="F5" s="8" t="n">
        <v>469</v>
      </c>
    </row>
    <row r="6">
      <c r="A6" s="7" t="n">
        <v>5</v>
      </c>
      <c r="B6" s="7" t="inlineStr">
        <is>
          <t>App Service staging slot</t>
        </is>
      </c>
      <c r="C6" s="7" t="inlineStr">
        <is>
          <t>shared on the plan</t>
        </is>
      </c>
      <c r="D6" s="7" t="n">
        <v>1</v>
      </c>
      <c r="E6" s="7" t="inlineStr">
        <is>
          <t>included</t>
        </is>
      </c>
      <c r="F6" s="8" t="n">
        <v>0</v>
      </c>
    </row>
    <row r="7">
      <c r="A7" s="7" t="n">
        <v>6</v>
      </c>
      <c r="B7" s="7" t="inlineStr">
        <is>
          <t>App Insights ingestion</t>
        </is>
      </c>
      <c r="C7" s="7" t="inlineStr">
        <is>
          <t>ingestion</t>
        </is>
      </c>
      <c r="D7" s="7" t="n">
        <v>5</v>
      </c>
      <c r="E7" s="7" t="inlineStr">
        <is>
          <t>$2.30/GB</t>
        </is>
      </c>
      <c r="F7" s="8" t="n">
        <v>12</v>
      </c>
    </row>
    <row r="8">
      <c r="A8" s="9" t="inlineStr">
        <is>
          <t>Subtotal</t>
        </is>
      </c>
      <c r="B8" s="9" t="inlineStr"/>
      <c r="C8" s="9" t="inlineStr"/>
      <c r="D8" s="9" t="inlineStr"/>
      <c r="E8" s="9" t="inlineStr"/>
      <c r="F8" s="10">
        <f>SUM(F2:F7)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36" customWidth="1" min="3" max="3"/>
    <col width="10" customWidth="1" min="4" max="4"/>
    <col width="18" customWidth="1" min="5" max="5"/>
    <col width="16" customWidth="1" min="6" max="6"/>
  </cols>
  <sheetData>
    <row r="1">
      <c r="A1" s="6" t="inlineStr">
        <is>
          <t>#</t>
        </is>
      </c>
      <c r="B1" s="6" t="inlineStr">
        <is>
          <t>Resource</t>
        </is>
      </c>
      <c r="C1" s="6" t="inlineStr">
        <is>
          <t>SKU / Tier</t>
        </is>
      </c>
      <c r="D1" s="6" t="inlineStr">
        <is>
          <t>Qty</t>
        </is>
      </c>
      <c r="E1" s="6" t="inlineStr">
        <is>
          <t>Unit price (USD)</t>
        </is>
      </c>
      <c r="F1" s="6" t="inlineStr">
        <is>
          <t>Monthly (USD)</t>
        </is>
      </c>
    </row>
    <row r="2">
      <c r="A2" s="7" t="n">
        <v>1</v>
      </c>
      <c r="B2" s="7" t="inlineStr">
        <is>
          <t>Azure Container Registry</t>
        </is>
      </c>
      <c r="C2" s="7" t="inlineStr">
        <is>
          <t>Premium</t>
        </is>
      </c>
      <c r="D2" s="7" t="n">
        <v>1</v>
      </c>
      <c r="E2" s="7" t="inlineStr">
        <is>
          <t>$1.667/day</t>
        </is>
      </c>
      <c r="F2" s="8" t="n">
        <v>50</v>
      </c>
    </row>
    <row r="3">
      <c r="A3" s="7" t="n">
        <v>2</v>
      </c>
      <c r="B3" s="7" t="inlineStr">
        <is>
          <t>ACR storage above 500 GB</t>
        </is>
      </c>
      <c r="C3" s="7" t="inlineStr">
        <is>
          <t>per GB</t>
        </is>
      </c>
      <c r="D3" s="7" t="n">
        <v>100</v>
      </c>
      <c r="E3" s="7" t="inlineStr">
        <is>
          <t>$0.10/GB</t>
        </is>
      </c>
      <c r="F3" s="8" t="n">
        <v>10</v>
      </c>
    </row>
    <row r="4">
      <c r="A4" s="7" t="n">
        <v>3</v>
      </c>
      <c r="B4" s="7" t="inlineStr">
        <is>
          <t>ACR geo-replication (UAE Central)</t>
        </is>
      </c>
      <c r="C4" s="7" t="inlineStr">
        <is>
          <t>secondary region</t>
        </is>
      </c>
      <c r="D4" s="7" t="n">
        <v>1</v>
      </c>
      <c r="E4" s="7" t="inlineStr">
        <is>
          <t>$1.667/day</t>
        </is>
      </c>
      <c r="F4" s="8" t="n">
        <v>50</v>
      </c>
    </row>
    <row r="5">
      <c r="A5" s="9" t="inlineStr">
        <is>
          <t>Subtotal</t>
        </is>
      </c>
      <c r="B5" s="9" t="inlineStr"/>
      <c r="C5" s="9" t="inlineStr"/>
      <c r="D5" s="9" t="inlineStr"/>
      <c r="E5" s="9" t="inlineStr"/>
      <c r="F5" s="10">
        <f>SUM(F2:F4)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36" customWidth="1" min="3" max="3"/>
    <col width="10" customWidth="1" min="4" max="4"/>
    <col width="18" customWidth="1" min="5" max="5"/>
    <col width="16" customWidth="1" min="6" max="6"/>
  </cols>
  <sheetData>
    <row r="1">
      <c r="A1" s="6" t="inlineStr">
        <is>
          <t>#</t>
        </is>
      </c>
      <c r="B1" s="6" t="inlineStr">
        <is>
          <t>Resource</t>
        </is>
      </c>
      <c r="C1" s="6" t="inlineStr">
        <is>
          <t>SKU / Tier</t>
        </is>
      </c>
      <c r="D1" s="6" t="inlineStr">
        <is>
          <t>Qty</t>
        </is>
      </c>
      <c r="E1" s="6" t="inlineStr">
        <is>
          <t>Unit price (USD)</t>
        </is>
      </c>
      <c r="F1" s="6" t="inlineStr">
        <is>
          <t>Monthly (USD)</t>
        </is>
      </c>
    </row>
    <row r="2">
      <c r="A2" s="7" t="n">
        <v>1</v>
      </c>
      <c r="B2" s="7" t="inlineStr">
        <is>
          <t>Virtual Network</t>
        </is>
      </c>
      <c r="C2" s="7" t="inlineStr">
        <is>
          <t>included</t>
        </is>
      </c>
      <c r="D2" s="7" t="n">
        <v>1</v>
      </c>
      <c r="E2" s="7" t="inlineStr">
        <is>
          <t>$0</t>
        </is>
      </c>
      <c r="F2" s="8" t="n">
        <v>0</v>
      </c>
    </row>
    <row r="3">
      <c r="A3" s="7" t="n">
        <v>2</v>
      </c>
      <c r="B3" s="7" t="inlineStr">
        <is>
          <t>NAT Gateway (zone-redundant)</t>
        </is>
      </c>
      <c r="C3" s="7" t="inlineStr">
        <is>
          <t>per hour</t>
        </is>
      </c>
      <c r="D3" s="7" t="n">
        <v>1</v>
      </c>
      <c r="E3" s="7" t="inlineStr">
        <is>
          <t>$0.045/hr</t>
        </is>
      </c>
      <c r="F3" s="8" t="n">
        <v>33</v>
      </c>
    </row>
    <row r="4">
      <c r="A4" s="7" t="n">
        <v>3</v>
      </c>
      <c r="B4" s="7" t="inlineStr">
        <is>
          <t>NAT Gateway data processed</t>
        </is>
      </c>
      <c r="C4" s="7" t="inlineStr">
        <is>
          <t>per GB</t>
        </is>
      </c>
      <c r="D4" s="7" t="n">
        <v>1000</v>
      </c>
      <c r="E4" s="7" t="inlineStr">
        <is>
          <t>$0.045/GB</t>
        </is>
      </c>
      <c r="F4" s="8" t="n">
        <v>45</v>
      </c>
    </row>
    <row r="5">
      <c r="A5" s="7" t="n">
        <v>4</v>
      </c>
      <c r="B5" s="7" t="inlineStr">
        <is>
          <t>Public IP Standard (static)</t>
        </is>
      </c>
      <c r="C5" s="7" t="inlineStr">
        <is>
          <t>per hour</t>
        </is>
      </c>
      <c r="D5" s="7" t="n">
        <v>2</v>
      </c>
      <c r="E5" s="7" t="inlineStr">
        <is>
          <t>$0.005/hr</t>
        </is>
      </c>
      <c r="F5" s="8" t="n">
        <v>7.3</v>
      </c>
    </row>
    <row r="6">
      <c r="A6" s="7" t="n">
        <v>5</v>
      </c>
      <c r="B6" s="7" t="inlineStr">
        <is>
          <t>Private endpoints (KV, ACR)</t>
        </is>
      </c>
      <c r="C6" s="7" t="inlineStr">
        <is>
          <t>per endpoint/hr</t>
        </is>
      </c>
      <c r="D6" s="7" t="n">
        <v>2</v>
      </c>
      <c r="E6" s="7" t="inlineStr">
        <is>
          <t>$0.01/hr</t>
        </is>
      </c>
      <c r="F6" s="8" t="n">
        <v>14.6</v>
      </c>
    </row>
    <row r="7">
      <c r="A7" s="7" t="n">
        <v>6</v>
      </c>
      <c r="B7" s="7" t="inlineStr">
        <is>
          <t>Private endpoint data processed</t>
        </is>
      </c>
      <c r="C7" s="7" t="inlineStr">
        <is>
          <t>per GB</t>
        </is>
      </c>
      <c r="D7" s="7" t="n">
        <v>500</v>
      </c>
      <c r="E7" s="7" t="inlineStr">
        <is>
          <t>$0.01/GB</t>
        </is>
      </c>
      <c r="F7" s="8" t="n">
        <v>5</v>
      </c>
    </row>
    <row r="8">
      <c r="A8" s="7" t="n">
        <v>7</v>
      </c>
      <c r="B8" s="7" t="inlineStr">
        <is>
          <t>Private DNS zones</t>
        </is>
      </c>
      <c r="C8" s="7" t="inlineStr">
        <is>
          <t>per zone</t>
        </is>
      </c>
      <c r="D8" s="7" t="n">
        <v>2</v>
      </c>
      <c r="E8" s="7" t="inlineStr">
        <is>
          <t>$0.50/zone/mo</t>
        </is>
      </c>
      <c r="F8" s="8" t="n">
        <v>1</v>
      </c>
    </row>
    <row r="9">
      <c r="A9" s="7" t="n">
        <v>8</v>
      </c>
      <c r="B9" s="7" t="inlineStr">
        <is>
          <t>Application Gateway v2 (WAF)</t>
        </is>
      </c>
      <c r="C9" s="7" t="inlineStr">
        <is>
          <t>small WAFv2</t>
        </is>
      </c>
      <c r="D9" s="7" t="n">
        <v>1</v>
      </c>
      <c r="E9" s="7" t="inlineStr">
        <is>
          <t>~$200/mo</t>
        </is>
      </c>
      <c r="F9" s="8" t="n">
        <v>200</v>
      </c>
    </row>
    <row r="10">
      <c r="A10" s="7" t="n">
        <v>9</v>
      </c>
      <c r="B10" s="7" t="inlineStr">
        <is>
          <t>Egress bandwidth (after 100 GB free)</t>
        </is>
      </c>
      <c r="C10" s="7" t="inlineStr">
        <is>
          <t>per GB</t>
        </is>
      </c>
      <c r="D10" s="7" t="n">
        <v>500</v>
      </c>
      <c r="E10" s="7" t="inlineStr">
        <is>
          <t>$0.087/GB</t>
        </is>
      </c>
      <c r="F10" s="8" t="n">
        <v>43</v>
      </c>
    </row>
    <row r="11">
      <c r="A11" s="7" t="n">
        <v>10</v>
      </c>
      <c r="B11" s="7" t="inlineStr">
        <is>
          <t>Cross-region replication egress</t>
        </is>
      </c>
      <c r="C11" s="7" t="inlineStr">
        <is>
          <t>per GB</t>
        </is>
      </c>
      <c r="D11" s="7" t="n">
        <v>400</v>
      </c>
      <c r="E11" s="7" t="inlineStr">
        <is>
          <t>$0.087/GB</t>
        </is>
      </c>
      <c r="F11" s="8" t="n">
        <v>35</v>
      </c>
    </row>
    <row r="12">
      <c r="A12" s="9" t="inlineStr">
        <is>
          <t>Subtotal</t>
        </is>
      </c>
      <c r="B12" s="9" t="inlineStr"/>
      <c r="C12" s="9" t="inlineStr"/>
      <c r="D12" s="9" t="inlineStr"/>
      <c r="E12" s="9" t="inlineStr"/>
      <c r="F12" s="10">
        <f>SUM(F2:F11)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36" customWidth="1" min="3" max="3"/>
    <col width="10" customWidth="1" min="4" max="4"/>
    <col width="18" customWidth="1" min="5" max="5"/>
    <col width="16" customWidth="1" min="6" max="6"/>
  </cols>
  <sheetData>
    <row r="1">
      <c r="A1" s="6" t="inlineStr">
        <is>
          <t>#</t>
        </is>
      </c>
      <c r="B1" s="6" t="inlineStr">
        <is>
          <t>Resource</t>
        </is>
      </c>
      <c r="C1" s="6" t="inlineStr">
        <is>
          <t>SKU / Tier</t>
        </is>
      </c>
      <c r="D1" s="6" t="inlineStr">
        <is>
          <t>Qty</t>
        </is>
      </c>
      <c r="E1" s="6" t="inlineStr">
        <is>
          <t>Unit price (USD)</t>
        </is>
      </c>
      <c r="F1" s="6" t="inlineStr">
        <is>
          <t>Monthly (USD)</t>
        </is>
      </c>
    </row>
    <row r="2">
      <c r="A2" s="7" t="n">
        <v>1</v>
      </c>
      <c r="B2" s="7" t="inlineStr">
        <is>
          <t>Key Vault (Premium) transactions</t>
        </is>
      </c>
      <c r="C2" s="7" t="inlineStr">
        <is>
          <t>per 10K ops</t>
        </is>
      </c>
      <c r="D2" s="7" t="n">
        <v>300</v>
      </c>
      <c r="E2" s="7" t="inlineStr">
        <is>
          <t>$0.03/10K</t>
        </is>
      </c>
      <c r="F2" s="8" t="n">
        <v>9</v>
      </c>
    </row>
    <row r="3">
      <c r="A3" s="7" t="n">
        <v>2</v>
      </c>
      <c r="B3" s="7" t="inlineStr">
        <is>
          <t>Key Vault HSM keys</t>
        </is>
      </c>
      <c r="C3" s="7" t="inlineStr">
        <is>
          <t>per key/month</t>
        </is>
      </c>
      <c r="D3" s="7" t="n">
        <v>5</v>
      </c>
      <c r="E3" s="7" t="inlineStr">
        <is>
          <t>$5.00</t>
        </is>
      </c>
      <c r="F3" s="8" t="n">
        <v>25</v>
      </c>
    </row>
    <row r="4">
      <c r="A4" s="7" t="n">
        <v>3</v>
      </c>
      <c r="B4" s="7" t="inlineStr">
        <is>
          <t>Defender for Cloud (Foundational CSPM)</t>
        </is>
      </c>
      <c r="C4" s="7" t="inlineStr">
        <is>
          <t>free tier</t>
        </is>
      </c>
      <c r="D4" s="7" t="n">
        <v>1</v>
      </c>
      <c r="E4" s="7" t="inlineStr">
        <is>
          <t>$0</t>
        </is>
      </c>
      <c r="F4" s="8" t="n">
        <v>0</v>
      </c>
    </row>
    <row r="5">
      <c r="A5" s="7" t="n">
        <v>4</v>
      </c>
      <c r="B5" s="7" t="inlineStr">
        <is>
          <t>Defender for Containers</t>
        </is>
      </c>
      <c r="C5" s="7" t="inlineStr">
        <is>
          <t>per vCore/hr</t>
        </is>
      </c>
      <c r="D5" s="7" t="n">
        <v>30</v>
      </c>
      <c r="E5" s="7" t="inlineStr">
        <is>
          <t>$0.0095/hr</t>
        </is>
      </c>
      <c r="F5" s="8" t="n">
        <v>208</v>
      </c>
    </row>
    <row r="6">
      <c r="A6" s="7" t="n">
        <v>5</v>
      </c>
      <c r="B6" s="7" t="inlineStr">
        <is>
          <t>Defender for App Service</t>
        </is>
      </c>
      <c r="C6" s="7" t="inlineStr">
        <is>
          <t>per node/hr</t>
        </is>
      </c>
      <c r="D6" s="7" t="n">
        <v>3</v>
      </c>
      <c r="E6" s="7" t="inlineStr">
        <is>
          <t>$0.02/hr</t>
        </is>
      </c>
      <c r="F6" s="8" t="n">
        <v>43.8</v>
      </c>
    </row>
    <row r="7">
      <c r="A7" s="7" t="n">
        <v>6</v>
      </c>
      <c r="B7" s="7" t="inlineStr">
        <is>
          <t>Microsoft Sentinel (optional)</t>
        </is>
      </c>
      <c r="C7" s="7" t="inlineStr">
        <is>
          <t>per GB ingested</t>
        </is>
      </c>
      <c r="D7" s="7" t="n">
        <v>30</v>
      </c>
      <c r="E7" s="7" t="inlineStr">
        <is>
          <t>$2.46/GB</t>
        </is>
      </c>
      <c r="F7" s="8" t="n">
        <v>74</v>
      </c>
    </row>
    <row r="8">
      <c r="A8" s="9" t="inlineStr">
        <is>
          <t>Subtotal</t>
        </is>
      </c>
      <c r="B8" s="9" t="inlineStr"/>
      <c r="C8" s="9" t="inlineStr"/>
      <c r="D8" s="9" t="inlineStr"/>
      <c r="E8" s="9" t="inlineStr"/>
      <c r="F8" s="10">
        <f>SUM(F2:F7)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36" customWidth="1" min="3" max="3"/>
    <col width="10" customWidth="1" min="4" max="4"/>
    <col width="18" customWidth="1" min="5" max="5"/>
    <col width="16" customWidth="1" min="6" max="6"/>
  </cols>
  <sheetData>
    <row r="1">
      <c r="A1" s="6" t="inlineStr">
        <is>
          <t>#</t>
        </is>
      </c>
      <c r="B1" s="6" t="inlineStr">
        <is>
          <t>Resource</t>
        </is>
      </c>
      <c r="C1" s="6" t="inlineStr">
        <is>
          <t>SKU / Tier</t>
        </is>
      </c>
      <c r="D1" s="6" t="inlineStr">
        <is>
          <t>Qty</t>
        </is>
      </c>
      <c r="E1" s="6" t="inlineStr">
        <is>
          <t>Unit price (USD)</t>
        </is>
      </c>
      <c r="F1" s="6" t="inlineStr">
        <is>
          <t>Monthly (USD)</t>
        </is>
      </c>
    </row>
    <row r="2">
      <c r="A2" s="7" t="n">
        <v>1</v>
      </c>
      <c r="B2" s="7" t="inlineStr">
        <is>
          <t>Log Analytics ingestion</t>
        </is>
      </c>
      <c r="C2" s="7" t="inlineStr">
        <is>
          <t>PAYG</t>
        </is>
      </c>
      <c r="D2" s="7" t="n">
        <v>100</v>
      </c>
      <c r="E2" s="7" t="inlineStr">
        <is>
          <t>$2.76/GB</t>
        </is>
      </c>
      <c r="F2" s="8" t="n">
        <v>276</v>
      </c>
    </row>
    <row r="3">
      <c r="A3" s="7" t="n">
        <v>2</v>
      </c>
      <c r="B3" s="7" t="inlineStr">
        <is>
          <t>Log Analytics extended retention</t>
        </is>
      </c>
      <c r="C3" s="7" t="inlineStr">
        <is>
          <t>per GB/mo (2 mo)</t>
        </is>
      </c>
      <c r="D3" s="7" t="n">
        <v>200</v>
      </c>
      <c r="E3" s="7" t="inlineStr">
        <is>
          <t>$0.10/GB</t>
        </is>
      </c>
      <c r="F3" s="8" t="n">
        <v>20</v>
      </c>
    </row>
    <row r="4">
      <c r="A4" s="7" t="n">
        <v>3</v>
      </c>
      <c r="B4" s="7" t="inlineStr">
        <is>
          <t>Container Insights</t>
        </is>
      </c>
      <c r="C4" s="7" t="inlineStr">
        <is>
          <t>included with LAW</t>
        </is>
      </c>
      <c r="D4" s="7" t="n">
        <v>1</v>
      </c>
      <c r="E4" s="7" t="inlineStr">
        <is>
          <t>$0</t>
        </is>
      </c>
      <c r="F4" s="8" t="n">
        <v>0</v>
      </c>
    </row>
    <row r="5">
      <c r="A5" s="7" t="n">
        <v>4</v>
      </c>
      <c r="B5" s="7" t="inlineStr">
        <is>
          <t>App Insights ingestion (App Svc)</t>
        </is>
      </c>
      <c r="C5" s="7" t="inlineStr">
        <is>
          <t>ingestion</t>
        </is>
      </c>
      <c r="D5" s="7" t="n">
        <v>30</v>
      </c>
      <c r="E5" s="7" t="inlineStr">
        <is>
          <t>$2.30/GB</t>
        </is>
      </c>
      <c r="F5" s="8" t="n">
        <v>69</v>
      </c>
    </row>
    <row r="6">
      <c r="A6" s="7" t="n">
        <v>5</v>
      </c>
      <c r="B6" s="7" t="inlineStr">
        <is>
          <t>Azure Monitor metric alerts</t>
        </is>
      </c>
      <c r="C6" s="7" t="inlineStr">
        <is>
          <t>per signal</t>
        </is>
      </c>
      <c r="D6" s="7" t="n">
        <v>50</v>
      </c>
      <c r="E6" s="7" t="inlineStr">
        <is>
          <t>$0.10/signal</t>
        </is>
      </c>
      <c r="F6" s="8" t="n">
        <v>5</v>
      </c>
    </row>
    <row r="7">
      <c r="A7" s="7" t="n">
        <v>6</v>
      </c>
      <c r="B7" s="7" t="inlineStr">
        <is>
          <t>Managed Prometheus (extra samples)</t>
        </is>
      </c>
      <c r="C7" s="7" t="inlineStr">
        <is>
          <t>per 10M samples</t>
        </is>
      </c>
      <c r="D7" s="7" t="n">
        <v>90</v>
      </c>
      <c r="E7" s="7" t="inlineStr">
        <is>
          <t>$0.16/10M</t>
        </is>
      </c>
      <c r="F7" s="8" t="n">
        <v>14.4</v>
      </c>
    </row>
    <row r="8">
      <c r="A8" s="7" t="n">
        <v>7</v>
      </c>
      <c r="B8" s="7" t="inlineStr">
        <is>
          <t>Azure Managed Grafana</t>
        </is>
      </c>
      <c r="C8" s="7" t="inlineStr">
        <is>
          <t>Standard</t>
        </is>
      </c>
      <c r="D8" s="7" t="n">
        <v>1</v>
      </c>
      <c r="E8" s="7" t="inlineStr">
        <is>
          <t>$0.105/hr</t>
        </is>
      </c>
      <c r="F8" s="8" t="n">
        <v>76.65000000000001</v>
      </c>
    </row>
    <row r="9">
      <c r="A9" s="7" t="n">
        <v>8</v>
      </c>
      <c r="B9" s="7" t="inlineStr">
        <is>
          <t>Diagnostic settings</t>
        </is>
      </c>
      <c r="C9" s="7" t="inlineStr">
        <is>
          <t>included</t>
        </is>
      </c>
      <c r="D9" s="7" t="n">
        <v>1</v>
      </c>
      <c r="E9" s="7" t="inlineStr">
        <is>
          <t>$0</t>
        </is>
      </c>
      <c r="F9" s="8" t="n">
        <v>0</v>
      </c>
    </row>
    <row r="10">
      <c r="A10" s="9" t="inlineStr">
        <is>
          <t>Subtotal</t>
        </is>
      </c>
      <c r="B10" s="9" t="inlineStr"/>
      <c r="C10" s="9" t="inlineStr"/>
      <c r="D10" s="9" t="inlineStr"/>
      <c r="E10" s="9" t="inlineStr"/>
      <c r="F10" s="10">
        <f>SUM(F2:F9)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36" customWidth="1" min="3" max="3"/>
    <col width="10" customWidth="1" min="4" max="4"/>
    <col width="18" customWidth="1" min="5" max="5"/>
    <col width="16" customWidth="1" min="6" max="6"/>
  </cols>
  <sheetData>
    <row r="1">
      <c r="A1" s="6" t="inlineStr">
        <is>
          <t>#</t>
        </is>
      </c>
      <c r="B1" s="6" t="inlineStr">
        <is>
          <t>Resource</t>
        </is>
      </c>
      <c r="C1" s="6" t="inlineStr">
        <is>
          <t>SKU / Tier</t>
        </is>
      </c>
      <c r="D1" s="6" t="inlineStr">
        <is>
          <t>Qty</t>
        </is>
      </c>
      <c r="E1" s="6" t="inlineStr">
        <is>
          <t>Unit price (USD)</t>
        </is>
      </c>
      <c r="F1" s="6" t="inlineStr">
        <is>
          <t>Monthly (USD)</t>
        </is>
      </c>
    </row>
    <row r="2">
      <c r="A2" s="7" t="n">
        <v>1</v>
      </c>
      <c r="B2" s="7" t="inlineStr">
        <is>
          <t>Premium ZRS managed disks (PVCs)</t>
        </is>
      </c>
      <c r="C2" s="7" t="inlineStr">
        <is>
          <t>P15 (256 GiB)</t>
        </is>
      </c>
      <c r="D2" s="7" t="n">
        <v>3</v>
      </c>
      <c r="E2" s="7" t="inlineStr">
        <is>
          <t>$35/disk</t>
        </is>
      </c>
      <c r="F2" s="8" t="n">
        <v>105</v>
      </c>
    </row>
    <row r="3">
      <c r="A3" s="7" t="n">
        <v>2</v>
      </c>
      <c r="B3" s="7" t="inlineStr">
        <is>
          <t>Snapshot storage (PVC backup)</t>
        </is>
      </c>
      <c r="C3" s="7" t="inlineStr">
        <is>
          <t>LRS standard</t>
        </is>
      </c>
      <c r="D3" s="7" t="n">
        <v>100</v>
      </c>
      <c r="E3" s="7" t="inlineStr">
        <is>
          <t>$0.05/GB</t>
        </is>
      </c>
      <c r="F3" s="8" t="n">
        <v>5</v>
      </c>
    </row>
    <row r="4">
      <c r="A4" s="7" t="n">
        <v>3</v>
      </c>
      <c r="B4" s="7" t="inlineStr">
        <is>
          <t>App Service backup</t>
        </is>
      </c>
      <c r="C4" s="7" t="inlineStr">
        <is>
          <t>included w/ Premium</t>
        </is>
      </c>
      <c r="D4" s="7" t="n">
        <v>1</v>
      </c>
      <c r="E4" s="7" t="inlineStr">
        <is>
          <t>$0</t>
        </is>
      </c>
      <c r="F4" s="8" t="n">
        <v>0</v>
      </c>
    </row>
    <row r="5">
      <c r="A5" s="9" t="inlineStr">
        <is>
          <t>Subtotal</t>
        </is>
      </c>
      <c r="B5" s="9" t="inlineStr"/>
      <c r="C5" s="9" t="inlineStr"/>
      <c r="D5" s="9" t="inlineStr"/>
      <c r="E5" s="9" t="inlineStr"/>
      <c r="F5" s="10">
        <f>SUM(F2:F4)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2026-05-09T15:50:17Z</dcterms:created>
  <dcterms:modified xmlns:dcterms="http://purl.org/dc/terms/" xmlns:xsi="http://www.w3.org/2001/XMLSchema-instance" xsi:type="dcterms:W3CDTF">2026-05-09T15:50:17Z</dcterms:modified>
</cp:coreProperties>
</file>